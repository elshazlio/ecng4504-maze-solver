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List" sheetId="1" r:id="rId4"/>
  </sheets>
  <definedNames/>
  <calcPr/>
  <extLst>
    <ext uri="GoogleSheetsCustomDataVersion2">
      <go:sheetsCustomData xmlns:go="http://customooxmlschemas.google.com/" r:id="rId5" roundtripDataChecksum="CvJvZ2sUCFFUGG3RS+lnuyrU8hCQrjiU5QDLIbjF+kg="/>
    </ext>
  </extLst>
</workbook>
</file>

<file path=xl/sharedStrings.xml><?xml version="1.0" encoding="utf-8"?>
<sst xmlns="http://schemas.openxmlformats.org/spreadsheetml/2006/main" count="71" uniqueCount="62">
  <si>
    <t>Bill of Materials: Maze-Solving Robot</t>
  </si>
  <si>
    <t>ECNG 4504: Embedded Systems for Wireless Communications  |  Spring 2026  |  The American University in Cairo</t>
  </si>
  <si>
    <t>Team Members: Mina Gerges, Omar ElShazli, Abanoub Emad, John Fahmy</t>
  </si>
  <si>
    <t>#</t>
  </si>
  <si>
    <t>Component</t>
  </si>
  <si>
    <t>Description / Specification</t>
  </si>
  <si>
    <t>Category</t>
  </si>
  <si>
    <t>Qty</t>
  </si>
  <si>
    <t>Unit Cost</t>
  </si>
  <si>
    <t>Notes</t>
  </si>
  <si>
    <t>Arduino Mega 2560</t>
  </si>
  <si>
    <t>ATmega2560 MCU, 54 digital I/O, 16 analog inputs, 4 UARTs, USB-B</t>
  </si>
  <si>
    <t>MCU</t>
  </si>
  <si>
    <t>Main controller; clone board with CH340 USB-serial</t>
  </si>
  <si>
    <t>L298N Dual H-Bridge Motor Driver</t>
  </si>
  <si>
    <t>2-channel DC motor driver, 5–35 V, 2 A per channel, onboard 5 V regulator</t>
  </si>
  <si>
    <t>Actuation</t>
  </si>
  <si>
    <t>Drives left and right motor pairs</t>
  </si>
  <si>
    <t>HM-10 BLE 4.0 Module</t>
  </si>
  <si>
    <t>CC2541 BLE UART transceiver, 3.3 V logic, 9600 baud default</t>
  </si>
  <si>
    <t>Communication</t>
  </si>
  <si>
    <t>Connected to Mega Serial1 (TX1/RX1, pins 18/19)</t>
  </si>
  <si>
    <t>5-Channel IR Line Sensor Array</t>
  </si>
  <si>
    <t>5-eye reflective IR sensor, digital output (active LOW), 3.3–5 V</t>
  </si>
  <si>
    <t>Sensing</t>
  </si>
  <si>
    <t>Pins 30–34; detects black line on white surface</t>
  </si>
  <si>
    <t>TT Gearmotor (DC 3–6 V)</t>
  </si>
  <si>
    <t>Dual-shaft plastic gearmotor, ~200 RPM at 5 V, 1:48 gear ratio</t>
  </si>
  <si>
    <t>Yellow hobby motors; paired L+R via L298N</t>
  </si>
  <si>
    <t>65 mm Rubber Wheel</t>
  </si>
  <si>
    <t>Press-fit wheel for TT gearmotor D-shaft</t>
  </si>
  <si>
    <t>Mechanical</t>
  </si>
  <si>
    <t>Black rubber tire, yellow hub</t>
  </si>
  <si>
    <t>4WD Acrylic / MDF Robot Chassis</t>
  </si>
  <si>
    <t>Two-layer laser-cut chassis kit with standoffs and mounting holes</t>
  </si>
  <si>
    <t>Holds all components; ~25 × 15 cm footprint</t>
  </si>
  <si>
    <t>Half-Size Breadboard (400 tie-points)</t>
  </si>
  <si>
    <t>Solderless breadboard for prototyping sensor and BLE wiring</t>
  </si>
  <si>
    <t>Prototyping</t>
  </si>
  <si>
    <t>Mounted on chassis upper deck</t>
  </si>
  <si>
    <t>Male-to-Male Jumper Wires</t>
  </si>
  <si>
    <t>Assorted 10–20 cm dupont jumper wires</t>
  </si>
  <si>
    <t>Bundle; sensor, motor driver, and BLE connections</t>
  </si>
  <si>
    <t>Male-to-Female Jumper Wires</t>
  </si>
  <si>
    <t>Bundle; Arduino header to breadboard</t>
  </si>
  <si>
    <t>18650 Li-Ion Battery</t>
  </si>
  <si>
    <t>3.7 V rechargeable lithium-ion cells, ~2600 mAh</t>
  </si>
  <si>
    <t>Power</t>
  </si>
  <si>
    <t>Series pair → 7.4 V nominal to L298N VMS</t>
  </si>
  <si>
    <t>18650 Battery Holder (2-cell series)</t>
  </si>
  <si>
    <t>Plastic holder with leads, series wiring</t>
  </si>
  <si>
    <t>Mounted under chassis</t>
  </si>
  <si>
    <t>Rocker Switch (SPST)</t>
  </si>
  <si>
    <t>Mini on/off toggle switch, panel-mount</t>
  </si>
  <si>
    <t>Main power cut-off on battery positive rail</t>
  </si>
  <si>
    <t>USB-B Cable</t>
  </si>
  <si>
    <t>USB-A to USB-B, ~1.5 m, for programming and serial debug</t>
  </si>
  <si>
    <t>Connects Mega to laptop for firmware upload</t>
  </si>
  <si>
    <t>M3 Standoffs, Screws, and Nuts Kit</t>
  </si>
  <si>
    <t>Assorted M3 brass/nylon standoffs for board mounting</t>
  </si>
  <si>
    <t>Kit; secures Mega and driver to chassis</t>
  </si>
  <si>
    <t>TOTAL COMPONENTS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</si>
</sst>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9"/>
      <name val="Arial"/>
    </font>
    <font>
      <sz val="10.0"/>
      <color rgb="FF666666"/>
      <name val="Arial"/>
    </font>
    <font>
      <b/>
      <sz val="11.0"/>
      <color rgb="FFFFFFFF"/>
      <name val="Arial"/>
    </font>
    <font>
      <sz val="10.0"/>
      <color rgb="FF333333"/>
      <name val="Arial"/>
    </font>
    <font>
      <b/>
      <sz val="10.0"/>
      <color rgb="FF1F4E79"/>
      <name val="Arial"/>
    </font>
    <font/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1"/>
    </xf>
    <xf borderId="2" fillId="5" fontId="5" numFmtId="0" xfId="0" applyAlignment="1" applyBorder="1" applyFill="1" applyFont="1">
      <alignment horizontal="right" shrinkToFit="0" vertical="center" wrapText="0"/>
    </xf>
    <xf borderId="3" fillId="0" fontId="6" numFmtId="0" xfId="0" applyBorder="1" applyFont="1"/>
    <xf borderId="4" fillId="0" fontId="6" numFmtId="0" xfId="0" applyBorder="1" applyFont="1"/>
    <xf borderId="1" fillId="5" fontId="5" numFmtId="0" xfId="0" applyAlignment="1" applyBorder="1" applyFont="1">
      <alignment horizontal="center" shrinkToFit="0" vertical="center" wrapText="0"/>
    </xf>
    <xf borderId="1" fillId="5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4.0"/>
    <col customWidth="1" min="3" max="3" width="42.0"/>
    <col customWidth="1" min="4" max="4" width="16.57"/>
    <col customWidth="1" min="5" max="5" width="8.0"/>
    <col customWidth="1" min="6" max="6" width="14.0"/>
    <col customWidth="1" min="7" max="7" width="30.0"/>
    <col customWidth="1" min="8" max="25" width="8.71"/>
  </cols>
  <sheetData>
    <row r="1" ht="31.5" customHeight="1">
      <c r="A1" s="1" t="s">
        <v>0</v>
      </c>
    </row>
    <row r="2" ht="18.0" customHeight="1">
      <c r="A2" s="2" t="s">
        <v>1</v>
      </c>
    </row>
    <row r="3">
      <c r="A3" s="2" t="s">
        <v>2</v>
      </c>
    </row>
    <row r="4" ht="6.75" customHeight="1"/>
    <row r="5" ht="27.7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43.5" customHeight="1">
      <c r="A6" s="4">
        <v>1.0</v>
      </c>
      <c r="B6" s="5" t="s">
        <v>10</v>
      </c>
      <c r="C6" s="5" t="s">
        <v>11</v>
      </c>
      <c r="D6" s="5" t="s">
        <v>12</v>
      </c>
      <c r="E6" s="4">
        <v>1.0</v>
      </c>
      <c r="F6" s="4" t="str">
        <f>IFERROR(__xludf.DUMMYFUNCTION("AI(""fill with the most accurate estimates in EGP and use the tilde"")"),"~1,300 EGP")</f>
        <v>~1,300 EGP</v>
      </c>
      <c r="G6" s="5" t="s">
        <v>13</v>
      </c>
    </row>
    <row r="7" ht="21.75" customHeight="1">
      <c r="A7" s="6">
        <v>2.0</v>
      </c>
      <c r="B7" s="7" t="s">
        <v>14</v>
      </c>
      <c r="C7" s="7" t="s">
        <v>15</v>
      </c>
      <c r="D7" s="7" t="s">
        <v>16</v>
      </c>
      <c r="E7" s="6">
        <v>1.0</v>
      </c>
      <c r="F7" s="6" t="str">
        <f>IFERROR(__xludf.DUMMYFUNCTION("AI(""fill with the most accurate estimates in EGP and use the tilde"")"),"~75 EGP")</f>
        <v>~75 EGP</v>
      </c>
      <c r="G7" s="7" t="s">
        <v>17</v>
      </c>
    </row>
    <row r="8" ht="28.5" customHeight="1">
      <c r="A8" s="4">
        <v>3.0</v>
      </c>
      <c r="B8" s="5" t="s">
        <v>18</v>
      </c>
      <c r="C8" s="5" t="s">
        <v>19</v>
      </c>
      <c r="D8" s="5" t="s">
        <v>20</v>
      </c>
      <c r="E8" s="8">
        <v>1.0</v>
      </c>
      <c r="F8" s="4" t="str">
        <f>IFERROR(__xludf.DUMMYFUNCTION("AI(""fill with the most accurate estimates in EGP and use the tilde"")"),"~340 EGP")</f>
        <v>~340 EGP</v>
      </c>
      <c r="G8" s="5" t="s">
        <v>21</v>
      </c>
    </row>
    <row r="9" ht="33.0" customHeight="1">
      <c r="A9" s="6">
        <v>4.0</v>
      </c>
      <c r="B9" s="7" t="s">
        <v>22</v>
      </c>
      <c r="C9" s="7" t="s">
        <v>23</v>
      </c>
      <c r="D9" s="7" t="s">
        <v>24</v>
      </c>
      <c r="E9" s="6">
        <v>1.0</v>
      </c>
      <c r="F9" s="6" t="str">
        <f>IFERROR(__xludf.DUMMYFUNCTION("AI(""fill with the most accurate estimates in EGP and use the tilde"")"),"~145 EGP")</f>
        <v>~145 EGP</v>
      </c>
      <c r="G9" s="7" t="s">
        <v>25</v>
      </c>
    </row>
    <row r="10" ht="36.0" customHeight="1">
      <c r="A10" s="4">
        <v>5.0</v>
      </c>
      <c r="B10" s="5" t="s">
        <v>26</v>
      </c>
      <c r="C10" s="5" t="s">
        <v>27</v>
      </c>
      <c r="D10" s="5" t="s">
        <v>16</v>
      </c>
      <c r="E10" s="4">
        <v>4.0</v>
      </c>
      <c r="F10" s="4" t="str">
        <f>IFERROR(__xludf.DUMMYFUNCTION("AI(""fill with the most accurate estimates in EGP and use the tilde"")"),"~40 EGP")</f>
        <v>~40 EGP</v>
      </c>
      <c r="G10" s="5" t="s">
        <v>28</v>
      </c>
    </row>
    <row r="11" ht="21.75" customHeight="1">
      <c r="A11" s="6">
        <v>6.0</v>
      </c>
      <c r="B11" s="7" t="s">
        <v>29</v>
      </c>
      <c r="C11" s="7" t="s">
        <v>30</v>
      </c>
      <c r="D11" s="7" t="s">
        <v>31</v>
      </c>
      <c r="E11" s="6">
        <v>4.0</v>
      </c>
      <c r="F11" s="6" t="str">
        <f>IFERROR(__xludf.DUMMYFUNCTION("AI(""fill with the most accurate estimates in EGP and use the tilde"")"),"~35 EGP")</f>
        <v>~35 EGP</v>
      </c>
      <c r="G11" s="7" t="s">
        <v>32</v>
      </c>
    </row>
    <row r="12" ht="31.5" customHeight="1">
      <c r="A12" s="4">
        <v>7.0</v>
      </c>
      <c r="B12" s="5" t="s">
        <v>33</v>
      </c>
      <c r="C12" s="5" t="s">
        <v>34</v>
      </c>
      <c r="D12" s="5" t="s">
        <v>31</v>
      </c>
      <c r="E12" s="4">
        <v>1.0</v>
      </c>
      <c r="F12" s="4" t="str">
        <f>IFERROR(__xludf.DUMMYFUNCTION("AI(""fill with the most accurate estimates in EGP and use the tilde"")"),"~370 EGP")</f>
        <v>~370 EGP</v>
      </c>
      <c r="G12" s="5" t="s">
        <v>35</v>
      </c>
    </row>
    <row r="13" ht="21.75" customHeight="1">
      <c r="A13" s="6">
        <v>8.0</v>
      </c>
      <c r="B13" s="7" t="s">
        <v>36</v>
      </c>
      <c r="C13" s="7" t="s">
        <v>37</v>
      </c>
      <c r="D13" s="7" t="s">
        <v>38</v>
      </c>
      <c r="E13" s="6">
        <v>1.0</v>
      </c>
      <c r="F13" s="6" t="str">
        <f>IFERROR(__xludf.DUMMYFUNCTION("AI(""fill with the most accurate estimates in EGP and use the tilde"")"),"~95 EGP")</f>
        <v>~95 EGP</v>
      </c>
      <c r="G13" s="7" t="s">
        <v>39</v>
      </c>
    </row>
    <row r="14" ht="31.5" customHeight="1">
      <c r="A14" s="4">
        <v>9.0</v>
      </c>
      <c r="B14" s="5" t="s">
        <v>40</v>
      </c>
      <c r="C14" s="5" t="s">
        <v>41</v>
      </c>
      <c r="D14" s="5" t="s">
        <v>38</v>
      </c>
      <c r="E14" s="4">
        <v>1.0</v>
      </c>
      <c r="F14" s="4" t="str">
        <f>IFERROR(__xludf.DUMMYFUNCTION("AI(""fill with the most accurate estimates in EGP and use the tilde"")"),"~35 EGP")</f>
        <v>~35 EGP</v>
      </c>
      <c r="G14" s="5" t="s">
        <v>42</v>
      </c>
    </row>
    <row r="15" ht="33.75" customHeight="1">
      <c r="A15" s="6">
        <v>10.0</v>
      </c>
      <c r="B15" s="7" t="s">
        <v>43</v>
      </c>
      <c r="C15" s="7" t="s">
        <v>41</v>
      </c>
      <c r="D15" s="7" t="s">
        <v>38</v>
      </c>
      <c r="E15" s="6">
        <v>1.0</v>
      </c>
      <c r="F15" s="6" t="str">
        <f>IFERROR(__xludf.DUMMYFUNCTION("AI(""fill with the most accurate estimates in EGP and use the tilde"")"),"~35 EGP")</f>
        <v>~35 EGP</v>
      </c>
      <c r="G15" s="7" t="s">
        <v>44</v>
      </c>
    </row>
    <row r="16" ht="38.25" customHeight="1">
      <c r="A16" s="4">
        <v>11.0</v>
      </c>
      <c r="B16" s="5" t="s">
        <v>45</v>
      </c>
      <c r="C16" s="9" t="s">
        <v>46</v>
      </c>
      <c r="D16" s="5" t="s">
        <v>47</v>
      </c>
      <c r="E16" s="4">
        <v>2.0</v>
      </c>
      <c r="F16" s="4" t="str">
        <f>IFERROR(__xludf.DUMMYFUNCTION("AI(""fill with the most accurate estimates in EGP and use the tilde"")"),"~135 EGP")</f>
        <v>~135 EGP</v>
      </c>
      <c r="G16" s="5" t="s">
        <v>48</v>
      </c>
    </row>
    <row r="17" ht="21.75" customHeight="1">
      <c r="A17" s="6">
        <v>12.0</v>
      </c>
      <c r="B17" s="7" t="s">
        <v>49</v>
      </c>
      <c r="C17" s="7" t="s">
        <v>50</v>
      </c>
      <c r="D17" s="7" t="s">
        <v>47</v>
      </c>
      <c r="E17" s="6">
        <v>1.0</v>
      </c>
      <c r="F17" s="6" t="str">
        <f>IFERROR(__xludf.DUMMYFUNCTION("AI(""fill with the most accurate estimates in EGP and use the tilde"")"),"~15 EGP")</f>
        <v>~15 EGP</v>
      </c>
      <c r="G17" s="7" t="s">
        <v>51</v>
      </c>
    </row>
    <row r="18" ht="27.75" customHeight="1">
      <c r="A18" s="4">
        <v>13.0</v>
      </c>
      <c r="B18" s="5" t="s">
        <v>52</v>
      </c>
      <c r="C18" s="5" t="s">
        <v>53</v>
      </c>
      <c r="D18" s="5" t="s">
        <v>47</v>
      </c>
      <c r="E18" s="4">
        <v>1.0</v>
      </c>
      <c r="F18" s="4" t="str">
        <f>IFERROR(__xludf.DUMMYFUNCTION("AI(""fill with the most accurate estimates in EGP and use the tilde"")"),"~6 EGP")</f>
        <v>~6 EGP</v>
      </c>
      <c r="G18" s="5" t="s">
        <v>54</v>
      </c>
    </row>
    <row r="19" ht="27.75" customHeight="1">
      <c r="A19" s="6">
        <v>14.0</v>
      </c>
      <c r="B19" s="7" t="s">
        <v>55</v>
      </c>
      <c r="C19" s="7" t="s">
        <v>56</v>
      </c>
      <c r="D19" s="7" t="s">
        <v>38</v>
      </c>
      <c r="E19" s="6">
        <v>1.0</v>
      </c>
      <c r="F19" s="6" t="str">
        <f>IFERROR(__xludf.DUMMYFUNCTION("AI(""fill with the most accurate estimates in EGP and use the tilde"")"),"~85 EGP")</f>
        <v>~85 EGP</v>
      </c>
      <c r="G19" s="7" t="s">
        <v>57</v>
      </c>
    </row>
    <row r="20" ht="30.0" customHeight="1">
      <c r="A20" s="4">
        <v>15.0</v>
      </c>
      <c r="B20" s="5" t="s">
        <v>58</v>
      </c>
      <c r="C20" s="5" t="s">
        <v>59</v>
      </c>
      <c r="D20" s="5" t="s">
        <v>31</v>
      </c>
      <c r="E20" s="4">
        <v>1.0</v>
      </c>
      <c r="F20" s="4" t="str">
        <f>IFERROR(__xludf.DUMMYFUNCTION("AI(""fill with the most accurate estimates in EGP and use the tilde"")"),"~250 EGP")</f>
        <v>~250 EGP</v>
      </c>
      <c r="G20" s="5" t="s">
        <v>60</v>
      </c>
    </row>
    <row r="21" ht="24.0" customHeight="1">
      <c r="A21" s="10" t="s">
        <v>61</v>
      </c>
      <c r="B21" s="11"/>
      <c r="C21" s="11"/>
      <c r="D21" s="12"/>
      <c r="E21" s="13">
        <f>SUM(E6:E20)</f>
        <v>22</v>
      </c>
      <c r="F21" s="14" t="str">
        <f>IFERROR(__xludf.DUMMYFUNCTION("AI(""Fill an appropriate value for this cell based on the table context"")"),"~3,006 EGP")</f>
        <v>~3,006 EGP</v>
      </c>
      <c r="G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1:D21"/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2026-03-24T09:44:39Z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